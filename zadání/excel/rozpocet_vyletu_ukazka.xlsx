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Vyuka\DMG - Digitální a mediální gramotnost\hradebni-dmg\zadání\excel\"/>
    </mc:Choice>
  </mc:AlternateContent>
  <xr:revisionPtr revIDLastSave="0" documentId="13_ncr:1_{4C7622C6-9F85-436C-8292-5A6EEE034A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yžák" sheetId="1" r:id="rId1"/>
    <sheet name="Praha" sheetId="2" r:id="rId2"/>
    <sheet name="Shrnutí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6" i="1"/>
  <c r="D10" i="2"/>
  <c r="D8" i="2"/>
  <c r="D7" i="2"/>
  <c r="I6" i="2"/>
  <c r="D6" i="2"/>
  <c r="I5" i="2" s="1"/>
  <c r="D5" i="2"/>
  <c r="D4" i="2"/>
  <c r="I4" i="2" s="1"/>
  <c r="I3" i="2"/>
  <c r="D3" i="2"/>
  <c r="D2" i="2"/>
  <c r="I2" i="2" s="1"/>
  <c r="D13" i="1"/>
  <c r="I7" i="1" s="1"/>
  <c r="D12" i="1"/>
  <c r="D11" i="1"/>
  <c r="D10" i="1"/>
  <c r="D9" i="1"/>
  <c r="D7" i="1"/>
  <c r="D5" i="1"/>
  <c r="I4" i="1"/>
  <c r="D4" i="1"/>
  <c r="I3" i="1"/>
  <c r="D3" i="1"/>
  <c r="D2" i="1"/>
  <c r="D14" i="1" l="1"/>
  <c r="I5" i="1"/>
  <c r="I2" i="1"/>
  <c r="C5" i="3"/>
  <c r="B5" i="3"/>
  <c r="B4" i="3" l="1"/>
  <c r="D15" i="1"/>
  <c r="C4" i="3" s="1"/>
</calcChain>
</file>

<file path=xl/sharedStrings.xml><?xml version="1.0" encoding="utf-8"?>
<sst xmlns="http://schemas.openxmlformats.org/spreadsheetml/2006/main" count="75" uniqueCount="40">
  <si>
    <t>Kategorie</t>
  </si>
  <si>
    <t>Cena za osobu</t>
  </si>
  <si>
    <t>Počet osob</t>
  </si>
  <si>
    <t>Celkem</t>
  </si>
  <si>
    <t>Poznámka</t>
  </si>
  <si>
    <t>Upozornění</t>
  </si>
  <si>
    <t>Doprava</t>
  </si>
  <si>
    <t>Autobus tam a zpět</t>
  </si>
  <si>
    <t>Ubytování</t>
  </si>
  <si>
    <t>2 noci, penzion Alpský ráj</t>
  </si>
  <si>
    <t>Vstup</t>
  </si>
  <si>
    <t>Skipas 2 dny</t>
  </si>
  <si>
    <t>Jídlo</t>
  </si>
  <si>
    <t>Oběd - den 1</t>
  </si>
  <si>
    <t>Snídaně - den 1</t>
  </si>
  <si>
    <t>Ostatní</t>
  </si>
  <si>
    <t>Večeře - den 1</t>
  </si>
  <si>
    <t>Oběd - den 2</t>
  </si>
  <si>
    <t>Sušenka z automatu</t>
  </si>
  <si>
    <t>Parkování u sjezdovky</t>
  </si>
  <si>
    <t>Pojištění na lyže</t>
  </si>
  <si>
    <t>CELKEM:</t>
  </si>
  <si>
    <t>Cena na osobu:</t>
  </si>
  <si>
    <t>Vlak RegioJet</t>
  </si>
  <si>
    <t>Hostel v centru</t>
  </si>
  <si>
    <t>Pražský hrad</t>
  </si>
  <si>
    <t>Národní muzeum</t>
  </si>
  <si>
    <t>Oběd v restauraci</t>
  </si>
  <si>
    <t>Snídaně</t>
  </si>
  <si>
    <t>MHD lístky</t>
  </si>
  <si>
    <t>... doplň další položky</t>
  </si>
  <si>
    <t>Porovnání výletů</t>
  </si>
  <si>
    <t>Výlet</t>
  </si>
  <si>
    <t>Celková cena</t>
  </si>
  <si>
    <t>Cena na osobu</t>
  </si>
  <si>
    <t>Lyžák</t>
  </si>
  <si>
    <t>Praha</t>
  </si>
  <si>
    <t>vstup muzeum</t>
  </si>
  <si>
    <t>doprava</t>
  </si>
  <si>
    <t>mhd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</si>
</sst>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name val="Calibri"/>
    </font>
    <font>
      <b/>
      <sz val="11"/>
      <name val="Calibri"/>
    </font>
    <font>
      <b/>
      <sz val="16"/>
      <color rgb="FF4472C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164" fontId="2" fillId="3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2" fillId="3" borderId="0" xfId="0" applyNumberFormat="1" applyFont="1" applyFill="1"/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0" xfId="0"/>
    <xf numFmtId="0" fontId="0" fillId="4" borderId="1" xfId="0" applyFill="1" applyBorder="1" applyAlignment="1">
      <alignment horizontal="center"/>
    </xf>
  </cellXfs>
  <cellStyles count="1">
    <cellStyle name="Normální" xfId="0" builtinId="0"/>
  </cellStyles>
  <dxfs count="2"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1"/>
  <c:style val="2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cs-CZ">
                <a:solidFill>
                  <a:sysClr val="windowText" lastClr="000000"/>
                </a:solidFill>
              </a:rPr>
              <a:t>Výdaje podle kategorií</a:t>
            </a:r>
          </a:p>
        </c:rich>
      </c:tx>
      <c:layout>
        <c:manualLayout>
          <c:xMode val="edge"/>
          <c:yMode val="edge"/>
          <c:x val="0.37362314814814818"/>
          <c:y val="0.92074999999999996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Lyžák!$I$1</c:f>
              <c:strCache>
                <c:ptCount val="1"/>
                <c:pt idx="0">
                  <c:v>Celkem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4"/>
              <c:layout>
                <c:manualLayout>
                  <c:x val="-8.1855740740740743E-2"/>
                  <c:y val="2.2048611111111113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047-44E0-875B-404655241E02}"/>
                </c:ext>
              </c:extLst>
            </c:dLbl>
            <c:dLbl>
              <c:idx val="5"/>
              <c:layout>
                <c:manualLayout>
                  <c:x val="-0.15485805555555557"/>
                  <c:y val="3.2631944444444443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47-44E0-875B-404655241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cs-CZ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Lyžák!$H$2:$H$7</c:f>
              <c:strCache>
                <c:ptCount val="6"/>
                <c:pt idx="0">
                  <c:v>Doprava</c:v>
                </c:pt>
                <c:pt idx="1">
                  <c:v>Ubytování</c:v>
                </c:pt>
                <c:pt idx="2">
                  <c:v>Vstup</c:v>
                </c:pt>
                <c:pt idx="3">
                  <c:v>Jídlo</c:v>
                </c:pt>
                <c:pt idx="5">
                  <c:v>Ostatní</c:v>
                </c:pt>
              </c:strCache>
            </c:strRef>
          </c:cat>
          <c:val>
            <c:numRef>
              <c:f>Lyžák!$I$2:$I$7</c:f>
              <c:numCache>
                <c:formatCode>#\ ##0\ "Kč"</c:formatCode>
                <c:ptCount val="6"/>
                <c:pt idx="0">
                  <c:v>10600</c:v>
                </c:pt>
                <c:pt idx="1">
                  <c:v>20000</c:v>
                </c:pt>
                <c:pt idx="2">
                  <c:v>17490</c:v>
                </c:pt>
                <c:pt idx="3">
                  <c:v>11950</c:v>
                </c:pt>
                <c:pt idx="5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A-40F5-B986-04A5F81A738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>
              <a:solidFill>
                <a:sysClr val="windowText" lastClr="000000"/>
              </a:solidFill>
            </a:defRPr>
          </a:pPr>
          <a:endParaRPr lang="cs-CZ"/>
        </a:p>
      </c:txPr>
    </c:legend>
    <c:plotVisOnly val="1"/>
    <c:dispBlanksAs val="gap"/>
    <c:showDLblsOverMax val="1"/>
  </c:chart>
  <c:spPr>
    <a:solidFill>
      <a:schemeClr val="accent1">
        <a:alpha val="50000"/>
      </a:schemeClr>
    </a:solidFill>
    <a:ln>
      <a:noFill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cs-CZ"/>
              <a:t>Porovnání celkových cen výletů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Shrnutí!$B$3</c:f>
              <c:strCache>
                <c:ptCount val="1"/>
                <c:pt idx="0">
                  <c:v>Celková cena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Shrnutí!$A$4:$A$5</c:f>
              <c:strCache>
                <c:ptCount val="2"/>
                <c:pt idx="0">
                  <c:v>Lyžák</c:v>
                </c:pt>
                <c:pt idx="1">
                  <c:v>Praha</c:v>
                </c:pt>
              </c:strCache>
            </c:strRef>
          </c:cat>
          <c:val>
            <c:numRef>
              <c:f>Shrnutí!$B$4:$B$5</c:f>
              <c:numCache>
                <c:formatCode>#\ ##0\ "Kč"</c:formatCode>
                <c:ptCount val="2"/>
                <c:pt idx="0">
                  <c:v>62540</c:v>
                </c:pt>
                <c:pt idx="1">
                  <c:v>30200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C-4262-9DC7-F6FB88310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Výlet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cs-CZ"/>
                  <a:t>Cena (Kč)</a:t>
                </a:r>
              </a:p>
            </c:rich>
          </c:tx>
          <c:overlay val="1"/>
        </c:title>
        <c:numFmt formatCode="#\ ##0\ &quot;Kč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123825</xdr:colOff>
      <xdr:row>16</xdr:row>
      <xdr:rowOff>47625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N27" sqref="N27"/>
    </sheetView>
  </sheetViews>
  <sheetFormatPr defaultRowHeight="15" x14ac:dyDescent="0.25"/>
  <cols>
    <col min="1" max="2" width="15" customWidth="1"/>
    <col min="3" max="3" width="12" customWidth="1"/>
    <col min="4" max="4" width="16.7109375" customWidth="1"/>
    <col min="5" max="5" width="30" customWidth="1"/>
    <col min="6" max="6" width="1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0</v>
      </c>
      <c r="I1" s="2" t="s">
        <v>3</v>
      </c>
    </row>
    <row r="2" spans="1:9" x14ac:dyDescent="0.25">
      <c r="A2" s="3" t="s">
        <v>6</v>
      </c>
      <c r="B2" s="4">
        <v>350</v>
      </c>
      <c r="C2" s="5">
        <v>25</v>
      </c>
      <c r="D2" s="4">
        <f t="shared" ref="D2:D13" si="0">B2*C2</f>
        <v>8750</v>
      </c>
      <c r="E2" s="3" t="s">
        <v>7</v>
      </c>
      <c r="F2" s="5"/>
      <c r="H2" t="s">
        <v>6</v>
      </c>
      <c r="I2" s="6">
        <f>SUMIF($A$2:$A$13,H2,$D$2:$D$13)</f>
        <v>10600</v>
      </c>
    </row>
    <row r="3" spans="1:9" x14ac:dyDescent="0.25">
      <c r="A3" s="3" t="s">
        <v>8</v>
      </c>
      <c r="B3" s="4">
        <v>800</v>
      </c>
      <c r="C3" s="5">
        <v>25</v>
      </c>
      <c r="D3" s="4">
        <f t="shared" si="0"/>
        <v>20000</v>
      </c>
      <c r="E3" s="3" t="s">
        <v>9</v>
      </c>
      <c r="F3" s="21"/>
      <c r="H3" t="s">
        <v>8</v>
      </c>
      <c r="I3" s="6">
        <f>SUMIF($A$2:$A$13,H3,$D$2:$D$13)</f>
        <v>20000</v>
      </c>
    </row>
    <row r="4" spans="1:9" x14ac:dyDescent="0.25">
      <c r="A4" s="3" t="s">
        <v>10</v>
      </c>
      <c r="B4" s="4">
        <v>450</v>
      </c>
      <c r="C4" s="5">
        <v>25</v>
      </c>
      <c r="D4" s="4">
        <f t="shared" si="0"/>
        <v>11250</v>
      </c>
      <c r="E4" s="3" t="s">
        <v>11</v>
      </c>
      <c r="F4" s="5"/>
      <c r="H4" t="s">
        <v>10</v>
      </c>
      <c r="I4" s="6">
        <f>SUMIF($A$2:$A$13,H4,$D$2:$D$13)</f>
        <v>17490</v>
      </c>
    </row>
    <row r="5" spans="1:9" x14ac:dyDescent="0.25">
      <c r="A5" s="3" t="s">
        <v>12</v>
      </c>
      <c r="B5" s="4">
        <v>120</v>
      </c>
      <c r="C5" s="5">
        <v>25</v>
      </c>
      <c r="D5" s="4">
        <f t="shared" si="0"/>
        <v>3000</v>
      </c>
      <c r="E5" s="3" t="s">
        <v>13</v>
      </c>
      <c r="F5" s="5"/>
      <c r="H5" t="s">
        <v>12</v>
      </c>
      <c r="I5" s="6">
        <f>SUMIF($A$2:$A$13,H5,$D$2:$D$13)</f>
        <v>11950</v>
      </c>
    </row>
    <row r="6" spans="1:9" x14ac:dyDescent="0.25">
      <c r="A6" s="3" t="s">
        <v>10</v>
      </c>
      <c r="B6" s="4">
        <v>520</v>
      </c>
      <c r="C6" s="5">
        <v>12</v>
      </c>
      <c r="D6" s="4">
        <f t="shared" si="0"/>
        <v>6240</v>
      </c>
      <c r="E6" s="3" t="s">
        <v>37</v>
      </c>
      <c r="F6" s="5"/>
      <c r="I6" s="6"/>
    </row>
    <row r="7" spans="1:9" x14ac:dyDescent="0.25">
      <c r="A7" s="3" t="s">
        <v>12</v>
      </c>
      <c r="B7" s="4">
        <v>80</v>
      </c>
      <c r="C7" s="5">
        <v>25</v>
      </c>
      <c r="D7" s="4">
        <f t="shared" si="0"/>
        <v>2000</v>
      </c>
      <c r="E7" s="3" t="s">
        <v>14</v>
      </c>
      <c r="F7" s="5"/>
      <c r="H7" t="s">
        <v>15</v>
      </c>
      <c r="I7" s="6">
        <f>SUMIF($A$2:$A$13,H7,$D$2:$D$13)</f>
        <v>2500</v>
      </c>
    </row>
    <row r="8" spans="1:9" x14ac:dyDescent="0.25">
      <c r="A8" s="3" t="s">
        <v>38</v>
      </c>
      <c r="B8" s="4">
        <v>30</v>
      </c>
      <c r="C8" s="5">
        <v>20</v>
      </c>
      <c r="D8" s="4">
        <f t="shared" si="0"/>
        <v>600</v>
      </c>
      <c r="E8" s="3" t="s">
        <v>39</v>
      </c>
      <c r="F8" s="5"/>
      <c r="I8" s="6"/>
    </row>
    <row r="9" spans="1:9" x14ac:dyDescent="0.25">
      <c r="A9" s="3" t="s">
        <v>12</v>
      </c>
      <c r="B9" s="4">
        <v>150</v>
      </c>
      <c r="C9" s="5">
        <v>25</v>
      </c>
      <c r="D9" s="4">
        <f t="shared" si="0"/>
        <v>3750</v>
      </c>
      <c r="E9" s="3" t="s">
        <v>16</v>
      </c>
      <c r="F9" s="5"/>
    </row>
    <row r="10" spans="1:9" x14ac:dyDescent="0.25">
      <c r="A10" s="3" t="s">
        <v>12</v>
      </c>
      <c r="B10" s="4">
        <v>120</v>
      </c>
      <c r="C10" s="5">
        <v>25</v>
      </c>
      <c r="D10" s="4">
        <f t="shared" si="0"/>
        <v>3000</v>
      </c>
      <c r="E10" s="3" t="s">
        <v>17</v>
      </c>
      <c r="F10" s="5"/>
    </row>
    <row r="11" spans="1:9" x14ac:dyDescent="0.25">
      <c r="A11" s="3" t="s">
        <v>12</v>
      </c>
      <c r="B11" s="4">
        <v>20</v>
      </c>
      <c r="C11" s="5">
        <v>10</v>
      </c>
      <c r="D11" s="4">
        <f t="shared" si="0"/>
        <v>200</v>
      </c>
      <c r="E11" s="3" t="s">
        <v>18</v>
      </c>
      <c r="F11" s="5"/>
    </row>
    <row r="12" spans="1:9" x14ac:dyDescent="0.25">
      <c r="A12" s="3" t="s">
        <v>6</v>
      </c>
      <c r="B12" s="4">
        <v>50</v>
      </c>
      <c r="C12" s="5">
        <v>25</v>
      </c>
      <c r="D12" s="4">
        <f t="shared" si="0"/>
        <v>1250</v>
      </c>
      <c r="E12" s="3" t="s">
        <v>19</v>
      </c>
      <c r="F12" s="5"/>
    </row>
    <row r="13" spans="1:9" x14ac:dyDescent="0.25">
      <c r="A13" s="3" t="s">
        <v>15</v>
      </c>
      <c r="B13" s="4">
        <v>100</v>
      </c>
      <c r="C13" s="5">
        <v>25</v>
      </c>
      <c r="D13" s="4">
        <f t="shared" si="0"/>
        <v>2500</v>
      </c>
      <c r="E13" s="3" t="s">
        <v>20</v>
      </c>
      <c r="F13" s="5"/>
    </row>
    <row r="14" spans="1:9" ht="15.75" x14ac:dyDescent="0.25">
      <c r="A14" s="7"/>
      <c r="B14" s="8"/>
      <c r="C14" s="9" t="s">
        <v>21</v>
      </c>
      <c r="D14" s="10">
        <f>SUM(D2:D13)</f>
        <v>62540</v>
      </c>
      <c r="E14" s="7"/>
      <c r="F14" s="11"/>
    </row>
    <row r="15" spans="1:9" x14ac:dyDescent="0.25">
      <c r="A15" s="7"/>
      <c r="B15" s="8"/>
      <c r="C15" s="12" t="s">
        <v>22</v>
      </c>
      <c r="D15" s="13">
        <f>D14/25</f>
        <v>2501.6</v>
      </c>
      <c r="E15" s="7"/>
      <c r="F15" s="11"/>
    </row>
  </sheetData>
  <conditionalFormatting sqref="A2:F13">
    <cfRule type="expression" dxfId="1" priority="1">
      <formula>$B2&gt;500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D11" sqref="D11"/>
    </sheetView>
  </sheetViews>
  <sheetFormatPr defaultRowHeight="15" x14ac:dyDescent="0.25"/>
  <cols>
    <col min="1" max="2" width="15" customWidth="1"/>
    <col min="3" max="3" width="12" customWidth="1"/>
    <col min="4" max="4" width="14" customWidth="1"/>
    <col min="5" max="5" width="30" customWidth="1"/>
    <col min="6" max="6" width="1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0</v>
      </c>
      <c r="I1" s="2" t="s">
        <v>3</v>
      </c>
    </row>
    <row r="2" spans="1:9" x14ac:dyDescent="0.25">
      <c r="A2" s="14" t="s">
        <v>6</v>
      </c>
      <c r="B2" s="15">
        <v>250</v>
      </c>
      <c r="C2" s="14">
        <v>20</v>
      </c>
      <c r="D2" s="15">
        <f t="shared" ref="D2:D8" si="0">B2*C2</f>
        <v>5000</v>
      </c>
      <c r="E2" s="14" t="s">
        <v>23</v>
      </c>
      <c r="F2" s="14"/>
      <c r="H2" t="s">
        <v>6</v>
      </c>
      <c r="I2" s="6">
        <f>SUMIF($A$2:$A$8,H2,$D$2:$D$8)</f>
        <v>5600</v>
      </c>
    </row>
    <row r="3" spans="1:9" x14ac:dyDescent="0.25">
      <c r="A3" s="14" t="s">
        <v>8</v>
      </c>
      <c r="B3" s="15">
        <v>600</v>
      </c>
      <c r="C3" s="14">
        <v>20</v>
      </c>
      <c r="D3" s="15">
        <f t="shared" si="0"/>
        <v>12000</v>
      </c>
      <c r="E3" s="14" t="s">
        <v>24</v>
      </c>
      <c r="F3" s="14"/>
      <c r="H3" t="s">
        <v>8</v>
      </c>
      <c r="I3" s="6">
        <f>SUMIF($A$2:$A$8,H3,$D$2:$D$8)</f>
        <v>12000</v>
      </c>
    </row>
    <row r="4" spans="1:9" x14ac:dyDescent="0.25">
      <c r="A4" s="14" t="s">
        <v>10</v>
      </c>
      <c r="B4" s="15">
        <v>180</v>
      </c>
      <c r="C4" s="14">
        <v>20</v>
      </c>
      <c r="D4" s="15">
        <f t="shared" si="0"/>
        <v>3600</v>
      </c>
      <c r="E4" s="14" t="s">
        <v>25</v>
      </c>
      <c r="F4" s="14"/>
      <c r="H4" t="s">
        <v>10</v>
      </c>
      <c r="I4" s="6">
        <f>SUMIF($A$2:$A$8,H4,$D$2:$D$8)</f>
        <v>8000</v>
      </c>
    </row>
    <row r="5" spans="1:9" x14ac:dyDescent="0.25">
      <c r="A5" s="14" t="s">
        <v>10</v>
      </c>
      <c r="B5" s="15">
        <v>220</v>
      </c>
      <c r="C5" s="14">
        <v>20</v>
      </c>
      <c r="D5" s="15">
        <f t="shared" si="0"/>
        <v>4400</v>
      </c>
      <c r="E5" s="14" t="s">
        <v>26</v>
      </c>
      <c r="F5" s="14"/>
      <c r="H5" t="s">
        <v>12</v>
      </c>
      <c r="I5" s="6">
        <f>SUMIF($A$2:$A$8,H5,$D$2:$D$8)</f>
        <v>4600</v>
      </c>
    </row>
    <row r="6" spans="1:9" x14ac:dyDescent="0.25">
      <c r="A6" s="14" t="s">
        <v>12</v>
      </c>
      <c r="B6" s="15">
        <v>150</v>
      </c>
      <c r="C6" s="14">
        <v>20</v>
      </c>
      <c r="D6" s="15">
        <f t="shared" si="0"/>
        <v>3000</v>
      </c>
      <c r="E6" s="14" t="s">
        <v>27</v>
      </c>
      <c r="F6" s="14"/>
      <c r="H6" t="s">
        <v>15</v>
      </c>
      <c r="I6" s="6">
        <f>SUMIF($A$2:$A$8,H6,$D$2:$D$8)</f>
        <v>0</v>
      </c>
    </row>
    <row r="7" spans="1:9" x14ac:dyDescent="0.25">
      <c r="A7" s="14" t="s">
        <v>12</v>
      </c>
      <c r="B7" s="15">
        <v>80</v>
      </c>
      <c r="C7" s="14">
        <v>20</v>
      </c>
      <c r="D7" s="15">
        <f t="shared" si="0"/>
        <v>1600</v>
      </c>
      <c r="E7" s="14" t="s">
        <v>28</v>
      </c>
      <c r="F7" s="14"/>
    </row>
    <row r="8" spans="1:9" x14ac:dyDescent="0.25">
      <c r="A8" s="14" t="s">
        <v>6</v>
      </c>
      <c r="B8" s="15">
        <v>30</v>
      </c>
      <c r="C8" s="14">
        <v>20</v>
      </c>
      <c r="D8" s="15">
        <f t="shared" si="0"/>
        <v>600</v>
      </c>
      <c r="E8" s="14" t="s">
        <v>29</v>
      </c>
      <c r="F8" s="14"/>
    </row>
    <row r="9" spans="1:9" x14ac:dyDescent="0.25">
      <c r="A9" s="14"/>
      <c r="B9" s="14"/>
      <c r="C9" s="14"/>
      <c r="D9" s="14"/>
      <c r="E9" s="14" t="s">
        <v>30</v>
      </c>
      <c r="F9" s="14"/>
    </row>
    <row r="10" spans="1:9" ht="15.75" x14ac:dyDescent="0.25">
      <c r="C10" s="16" t="s">
        <v>21</v>
      </c>
      <c r="D10" s="17">
        <f>SUM(D2:D8)</f>
        <v>30200</v>
      </c>
    </row>
  </sheetData>
  <conditionalFormatting sqref="A2:F9">
    <cfRule type="expression" dxfId="0" priority="1">
      <formula>$B2&gt;500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sqref="A1:D1"/>
    </sheetView>
  </sheetViews>
  <sheetFormatPr defaultRowHeight="15" x14ac:dyDescent="0.25"/>
  <cols>
    <col min="1" max="3" width="15" customWidth="1"/>
    <col min="4" max="4" width="12" customWidth="1"/>
  </cols>
  <sheetData>
    <row r="1" spans="1:4" ht="21" x14ac:dyDescent="0.35">
      <c r="A1" s="19" t="s">
        <v>31</v>
      </c>
      <c r="B1" s="20"/>
      <c r="C1" s="20"/>
      <c r="D1" s="20"/>
    </row>
    <row r="3" spans="1:4" ht="15.75" x14ac:dyDescent="0.25">
      <c r="A3" s="18" t="s">
        <v>32</v>
      </c>
      <c r="B3" s="18" t="s">
        <v>33</v>
      </c>
      <c r="C3" s="18" t="s">
        <v>34</v>
      </c>
      <c r="D3" s="18" t="s">
        <v>2</v>
      </c>
    </row>
    <row r="4" spans="1:4" x14ac:dyDescent="0.25">
      <c r="A4" s="14" t="s">
        <v>35</v>
      </c>
      <c r="B4" s="15">
        <f>Lyžák!D14</f>
        <v>62540</v>
      </c>
      <c r="C4" s="15">
        <f>Lyžák!D15</f>
        <v>2501.6</v>
      </c>
      <c r="D4" s="14">
        <v>25</v>
      </c>
    </row>
    <row r="5" spans="1:4" x14ac:dyDescent="0.25">
      <c r="A5" s="14" t="s">
        <v>36</v>
      </c>
      <c r="B5" s="15">
        <f>Praha!D10</f>
        <v>30200</v>
      </c>
      <c r="C5" s="15">
        <f>Praha!D10/20</f>
        <v>1510</v>
      </c>
      <c r="D5" s="14">
        <v>20</v>
      </c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Lyžák</vt:lpstr>
      <vt:lpstr>Praha</vt:lpstr>
      <vt:lpstr>Shrnutí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Sládeček David</cp:lastModifiedBy>
  <dcterms:created xsi:type="dcterms:W3CDTF">2026-02-13T09:47:31Z</dcterms:created>
  <dcterms:modified xsi:type="dcterms:W3CDTF">2026-02-16T12:07:12Z</dcterms:modified>
</cp:coreProperties>
</file>